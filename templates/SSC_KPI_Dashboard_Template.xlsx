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nthly Input" sheetId="1" state="visible" r:id="rId1"/>
    <sheet xmlns:r="http://schemas.openxmlformats.org/officeDocument/2006/relationships" name="2. P2P KPIs" sheetId="2" state="visible" r:id="rId2"/>
    <sheet xmlns:r="http://schemas.openxmlformats.org/officeDocument/2006/relationships" name="3. O2C KPIs" sheetId="3" state="visible" r:id="rId3"/>
    <sheet xmlns:r="http://schemas.openxmlformats.org/officeDocument/2006/relationships" name="4. R2R KPIs" sheetId="4" state="visible" r:id="rId4"/>
    <sheet xmlns:r="http://schemas.openxmlformats.org/officeDocument/2006/relationships" name="5. Service KPIs" sheetId="5" state="visible" r:id="rId5"/>
    <sheet xmlns:r="http://schemas.openxmlformats.org/officeDocument/2006/relationships" name="6. People KPIs" sheetId="6" state="visible" r:id="rId6"/>
    <sheet xmlns:r="http://schemas.openxmlformats.org/officeDocument/2006/relationships" name="7. Exec Dashboard" sheetId="7" state="visible" r:id="rId7"/>
    <sheet xmlns:r="http://schemas.openxmlformats.org/officeDocument/2006/relationships" name="8. Benchmar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9" fontId="5" fillId="4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Touchless invoice rate — tendencia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'7. Exec Dashboard'!$B$13:$G$13</f>
            </numRef>
          </cat>
          <val>
            <numRef>
              <f>'7. Exec Dashboard'!$B$14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'7. Exec Dashboard'!$B$13:$G$13</f>
            </numRef>
          </cat>
          <val>
            <numRef>
              <f>'7. Exec Dashboard'!$C$14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'7. Exec Dashboard'!$B$13:$G$13</f>
            </numRef>
          </cat>
          <val>
            <numRef>
              <f>'7. Exec Dashboard'!$D$14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'7. Exec Dashboard'!$B$13:$G$13</f>
            </numRef>
          </cat>
          <val>
            <numRef>
              <f>'7. Exec Dashboard'!$E$14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'7. Exec Dashboard'!$B$13:$G$13</f>
            </numRef>
          </cat>
          <val>
            <numRef>
              <f>'7. Exec Dashboard'!$F$14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'7. Exec Dashboard'!$B$13:$G$13</f>
            </numRef>
          </cat>
          <val>
            <numRef>
              <f>'7. Exec Dashboard'!$G$14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SSC / GBS — KPI Dashboard</t>
        </is>
      </c>
    </row>
    <row r="2" ht="16" customHeight="1">
      <c r="A2" s="2" t="inlineStr">
        <is>
          <t>Ingresa las métricas del mes (celdas amarillas). Las hojas de KPIs leen de aquí.</t>
        </is>
      </c>
    </row>
    <row r="4">
      <c r="A4" s="3" t="inlineStr">
        <is>
          <t>Métrica</t>
        </is>
      </c>
      <c r="B4" s="4" t="inlineStr">
        <is>
          <t>Mes actual</t>
        </is>
      </c>
      <c r="C4" s="4" t="inlineStr">
        <is>
          <t>Mes anterior</t>
        </is>
      </c>
      <c r="D4" s="4" t="inlineStr">
        <is>
          <t>Meta</t>
        </is>
      </c>
      <c r="E4" s="4" t="inlineStr">
        <is>
          <t>Best practice</t>
        </is>
      </c>
    </row>
    <row r="5">
      <c r="A5" s="5" t="inlineStr">
        <is>
          <t>P2P — Facturas procesadas (#)</t>
        </is>
      </c>
      <c r="B5" s="6" t="n">
        <v>12000</v>
      </c>
      <c r="C5" s="6" t="n">
        <v>11800</v>
      </c>
      <c r="D5" s="6" t="n">
        <v>13000</v>
      </c>
      <c r="E5" s="6" t="n">
        <v>15000</v>
      </c>
    </row>
    <row r="6">
      <c r="A6" s="5" t="inlineStr">
        <is>
          <t>P2P — Touchless invoice rate (%)</t>
        </is>
      </c>
      <c r="B6" s="6" t="n">
        <v>0.62</v>
      </c>
      <c r="C6" s="6" t="n">
        <v>0.58</v>
      </c>
      <c r="D6" s="6" t="n">
        <v>0.75</v>
      </c>
      <c r="E6" s="6" t="n">
        <v>0.85</v>
      </c>
    </row>
    <row r="7">
      <c r="A7" s="5" t="inlineStr">
        <is>
          <t>P2P — Costo por factura (USD)</t>
        </is>
      </c>
      <c r="B7" s="6" t="n">
        <v>4.5</v>
      </c>
      <c r="C7" s="6" t="n">
        <v>4.8</v>
      </c>
      <c r="D7" s="6" t="n">
        <v>3.5</v>
      </c>
      <c r="E7" s="6" t="n">
        <v>2.5</v>
      </c>
    </row>
    <row r="8">
      <c r="A8" s="5" t="inlineStr">
        <is>
          <t>P2P — % pagos a tiempo</t>
        </is>
      </c>
      <c r="B8" s="6" t="n">
        <v>0.96</v>
      </c>
      <c r="C8" s="6" t="n">
        <v>0.95</v>
      </c>
      <c r="D8" s="6" t="n">
        <v>0.98</v>
      </c>
      <c r="E8" s="6" t="n">
        <v>0.99</v>
      </c>
    </row>
    <row r="9">
      <c r="A9" s="5" t="inlineStr">
        <is>
          <t>O2C — DSO (días)</t>
        </is>
      </c>
      <c r="B9" s="6" t="n">
        <v>52</v>
      </c>
      <c r="C9" s="6" t="n">
        <v>55</v>
      </c>
      <c r="D9" s="6" t="n">
        <v>45</v>
      </c>
      <c r="E9" s="6" t="n">
        <v>40</v>
      </c>
    </row>
    <row r="10">
      <c r="A10" s="5" t="inlineStr">
        <is>
          <t>O2C — Cash application automática (%)</t>
        </is>
      </c>
      <c r="B10" s="6" t="n">
        <v>0.8</v>
      </c>
      <c r="C10" s="6" t="n">
        <v>0.76</v>
      </c>
      <c r="D10" s="6" t="n">
        <v>0.9</v>
      </c>
      <c r="E10" s="6" t="n">
        <v>0.95</v>
      </c>
    </row>
    <row r="11">
      <c r="A11" s="5" t="inlineStr">
        <is>
          <t>O2C — Collections effectiveness (%)</t>
        </is>
      </c>
      <c r="B11" s="6" t="n">
        <v>0.88</v>
      </c>
      <c r="C11" s="6" t="n">
        <v>0.86</v>
      </c>
      <c r="D11" s="6" t="n">
        <v>0.92</v>
      </c>
      <c r="E11" s="6" t="n">
        <v>0.95</v>
      </c>
    </row>
    <row r="12">
      <c r="A12" s="5" t="inlineStr">
        <is>
          <t>R2R — Días de cierre mensual</t>
        </is>
      </c>
      <c r="B12" s="6" t="n">
        <v>6</v>
      </c>
      <c r="C12" s="6" t="n">
        <v>7</v>
      </c>
      <c r="D12" s="6" t="n">
        <v>5</v>
      </c>
      <c r="E12" s="6" t="n">
        <v>4</v>
      </c>
    </row>
    <row r="13">
      <c r="A13" s="5" t="inlineStr">
        <is>
          <t>R2R — Reconciliaciones a tiempo (%)</t>
        </is>
      </c>
      <c r="B13" s="6" t="n">
        <v>0.9</v>
      </c>
      <c r="C13" s="6" t="n">
        <v>0.88</v>
      </c>
      <c r="D13" s="6" t="n">
        <v>0.95</v>
      </c>
      <c r="E13" s="6" t="n">
        <v>0.98</v>
      </c>
    </row>
    <row r="14">
      <c r="A14" s="5" t="inlineStr">
        <is>
          <t>R2R — Journals automatizados (%)</t>
        </is>
      </c>
      <c r="B14" s="6" t="n">
        <v>0.55</v>
      </c>
      <c r="C14" s="6" t="n">
        <v>0.5</v>
      </c>
      <c r="D14" s="6" t="n">
        <v>0.7</v>
      </c>
      <c r="E14" s="6" t="n">
        <v>0.8</v>
      </c>
    </row>
    <row r="15">
      <c r="A15" s="5" t="inlineStr">
        <is>
          <t>Servicio — CSAT (1-5)</t>
        </is>
      </c>
      <c r="B15" s="6" t="n">
        <v>4.1</v>
      </c>
      <c r="C15" s="6" t="n">
        <v>4</v>
      </c>
      <c r="D15" s="6" t="n">
        <v>4.3</v>
      </c>
      <c r="E15" s="6" t="n">
        <v>4.6</v>
      </c>
    </row>
    <row r="16">
      <c r="A16" s="5" t="inlineStr">
        <is>
          <t>Servicio — NPS</t>
        </is>
      </c>
      <c r="B16" s="6" t="n">
        <v>35</v>
      </c>
      <c r="C16" s="6" t="n">
        <v>32</v>
      </c>
      <c r="D16" s="6" t="n">
        <v>45</v>
      </c>
      <c r="E16" s="6" t="n">
        <v>60</v>
      </c>
    </row>
    <row r="17">
      <c r="A17" s="5" t="inlineStr">
        <is>
          <t>Servicio — SLA compliance (%)</t>
        </is>
      </c>
      <c r="B17" s="6" t="n">
        <v>0.9399999999999999</v>
      </c>
      <c r="C17" s="6" t="n">
        <v>0.93</v>
      </c>
      <c r="D17" s="6" t="n">
        <v>0.97</v>
      </c>
      <c r="E17" s="6" t="n">
        <v>0.99</v>
      </c>
    </row>
    <row r="18">
      <c r="A18" s="5" t="inlineStr">
        <is>
          <t>People — Rotación anualizada (%)</t>
        </is>
      </c>
      <c r="B18" s="6" t="n">
        <v>0.18</v>
      </c>
      <c r="C18" s="6" t="n">
        <v>0.2</v>
      </c>
      <c r="D18" s="6" t="n">
        <v>0.15</v>
      </c>
      <c r="E18" s="6" t="n">
        <v>0.1</v>
      </c>
    </row>
    <row r="19">
      <c r="A19" s="5" t="inlineStr">
        <is>
          <t>People — Engagement (%)</t>
        </is>
      </c>
      <c r="B19" s="6" t="n">
        <v>0.74</v>
      </c>
      <c r="C19" s="6" t="n">
        <v>0.72</v>
      </c>
      <c r="D19" s="6" t="n">
        <v>0.8</v>
      </c>
      <c r="E19" s="6" t="n">
        <v>0.85</v>
      </c>
    </row>
    <row r="20">
      <c r="A20" s="5" t="inlineStr">
        <is>
          <t>People — Headcount (FTE)</t>
        </is>
      </c>
      <c r="B20" s="6" t="n">
        <v>180</v>
      </c>
      <c r="C20" s="6" t="n">
        <v>178</v>
      </c>
      <c r="D20" s="6" t="n">
        <v>185</v>
      </c>
      <c r="E20" s="6" t="n">
        <v>200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6" customHeight="1">
      <c r="A1" s="1" t="inlineStr">
        <is>
          <t>P2P KPIs</t>
        </is>
      </c>
    </row>
    <row r="2" ht="16" customHeight="1">
      <c r="A2" s="2" t="inlineStr">
        <is>
          <t>Procure-to-Pay / Accounts Payable</t>
        </is>
      </c>
    </row>
    <row r="4">
      <c r="A4" s="3" t="inlineStr">
        <is>
          <t>KPI</t>
        </is>
      </c>
      <c r="B4" s="4" t="inlineStr">
        <is>
          <t>Actual</t>
        </is>
      </c>
      <c r="C4" s="4" t="inlineStr">
        <is>
          <t>Anterior</t>
        </is>
      </c>
      <c r="D4" s="4" t="inlineStr">
        <is>
          <t>Meta</t>
        </is>
      </c>
      <c r="E4" s="4" t="inlineStr">
        <is>
          <t>Best pract.</t>
        </is>
      </c>
      <c r="F4" s="4" t="inlineStr">
        <is>
          <t>Status</t>
        </is>
      </c>
    </row>
    <row r="5">
      <c r="A5" s="5" t="inlineStr">
        <is>
          <t>P2P — Facturas procesadas (#)</t>
        </is>
      </c>
      <c r="B5" s="7">
        <f>'1. Monthly Input'!$B$5</f>
        <v/>
      </c>
      <c r="C5" s="8">
        <f>'1. Monthly Input'!$C$5</f>
        <v/>
      </c>
      <c r="D5" s="8">
        <f>'1. Monthly Input'!$D$5</f>
        <v/>
      </c>
      <c r="E5" s="8">
        <f>'1. Monthly Input'!$E$5</f>
        <v/>
      </c>
      <c r="F5" s="7">
        <f>IF(B5&gt;=D5,"🟢 Logrado",IF(B5&gt;=D5*0.9,"🟡 En riesgo","🔴 No logrado"))</f>
        <v/>
      </c>
    </row>
    <row r="6">
      <c r="A6" s="5" t="inlineStr">
        <is>
          <t>P2P — Touchless invoice rate (%)</t>
        </is>
      </c>
      <c r="B6" s="7">
        <f>'1. Monthly Input'!$B$6</f>
        <v/>
      </c>
      <c r="C6" s="8">
        <f>'1. Monthly Input'!$C$6</f>
        <v/>
      </c>
      <c r="D6" s="8">
        <f>'1. Monthly Input'!$D$6</f>
        <v/>
      </c>
      <c r="E6" s="8">
        <f>'1. Monthly Input'!$E$6</f>
        <v/>
      </c>
      <c r="F6" s="7">
        <f>IF(B6&gt;=D6,"🟢 Logrado",IF(B6&gt;=D6*0.9,"🟡 En riesgo","🔴 No logrado"))</f>
        <v/>
      </c>
    </row>
    <row r="7">
      <c r="A7" s="5" t="inlineStr">
        <is>
          <t>P2P — Costo por factura (USD)</t>
        </is>
      </c>
      <c r="B7" s="7">
        <f>'1. Monthly Input'!$B$7</f>
        <v/>
      </c>
      <c r="C7" s="8">
        <f>'1. Monthly Input'!$C$7</f>
        <v/>
      </c>
      <c r="D7" s="8">
        <f>'1. Monthly Input'!$D$7</f>
        <v/>
      </c>
      <c r="E7" s="8">
        <f>'1. Monthly Input'!$E$7</f>
        <v/>
      </c>
      <c r="F7" s="7">
        <f>IF(B7&lt;=D7,"🟢 Logrado",IF(B7&lt;=D7*1.1,"🟡 En riesgo","🔴 No logrado"))</f>
        <v/>
      </c>
    </row>
    <row r="8">
      <c r="A8" s="5" t="inlineStr">
        <is>
          <t>P2P — % pagos a tiempo</t>
        </is>
      </c>
      <c r="B8" s="7">
        <f>'1. Monthly Input'!$B$8</f>
        <v/>
      </c>
      <c r="C8" s="8">
        <f>'1. Monthly Input'!$C$8</f>
        <v/>
      </c>
      <c r="D8" s="8">
        <f>'1. Monthly Input'!$D$8</f>
        <v/>
      </c>
      <c r="E8" s="8">
        <f>'1. Monthly Input'!$E$8</f>
        <v/>
      </c>
      <c r="F8" s="7">
        <f>IF(B8&gt;=D8,"🟢 Logrado",IF(B8&gt;=D8*0.9,"🟡 En riesgo","🔴 No logrado"))</f>
        <v/>
      </c>
    </row>
  </sheetData>
  <mergeCells count="2">
    <mergeCell ref="A2:F2"/>
    <mergeCell ref="A1:F1"/>
  </mergeCells>
  <conditionalFormatting sqref="F5:F8">
    <cfRule type="expression" priority="1" dxfId="0">
      <formula>ISNUMBER(SEARCH("Logrado",F5))</formula>
    </cfRule>
    <cfRule type="expression" priority="2" dxfId="1">
      <formula>ISNUMBER(SEARCH("riesgo",F5))</formula>
    </cfRule>
    <cfRule type="expression" priority="3" dxfId="2">
      <formula>ISNUMBER(SEARCH("No logrado",F5))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6" customHeight="1">
      <c r="A1" s="1" t="inlineStr">
        <is>
          <t>O2C KPIs</t>
        </is>
      </c>
    </row>
    <row r="2" ht="16" customHeight="1">
      <c r="A2" s="2" t="inlineStr">
        <is>
          <t>Order-to-Cash / Accounts Receivable</t>
        </is>
      </c>
    </row>
    <row r="4">
      <c r="A4" s="3" t="inlineStr">
        <is>
          <t>KPI</t>
        </is>
      </c>
      <c r="B4" s="4" t="inlineStr">
        <is>
          <t>Actual</t>
        </is>
      </c>
      <c r="C4" s="4" t="inlineStr">
        <is>
          <t>Anterior</t>
        </is>
      </c>
      <c r="D4" s="4" t="inlineStr">
        <is>
          <t>Meta</t>
        </is>
      </c>
      <c r="E4" s="4" t="inlineStr">
        <is>
          <t>Best pract.</t>
        </is>
      </c>
      <c r="F4" s="4" t="inlineStr">
        <is>
          <t>Status</t>
        </is>
      </c>
    </row>
    <row r="5">
      <c r="A5" s="5" t="inlineStr">
        <is>
          <t>O2C — DSO (días)</t>
        </is>
      </c>
      <c r="B5" s="7">
        <f>'1. Monthly Input'!$B$9</f>
        <v/>
      </c>
      <c r="C5" s="8">
        <f>'1. Monthly Input'!$C$9</f>
        <v/>
      </c>
      <c r="D5" s="8">
        <f>'1. Monthly Input'!$D$9</f>
        <v/>
      </c>
      <c r="E5" s="8">
        <f>'1. Monthly Input'!$E$9</f>
        <v/>
      </c>
      <c r="F5" s="7">
        <f>IF(B5&lt;=D5,"🟢 Logrado",IF(B5&lt;=D5*1.1,"🟡 En riesgo","🔴 No logrado"))</f>
        <v/>
      </c>
    </row>
    <row r="6">
      <c r="A6" s="5" t="inlineStr">
        <is>
          <t>O2C — Cash application automática (%)</t>
        </is>
      </c>
      <c r="B6" s="7">
        <f>'1. Monthly Input'!$B$10</f>
        <v/>
      </c>
      <c r="C6" s="8">
        <f>'1. Monthly Input'!$C$10</f>
        <v/>
      </c>
      <c r="D6" s="8">
        <f>'1. Monthly Input'!$D$10</f>
        <v/>
      </c>
      <c r="E6" s="8">
        <f>'1. Monthly Input'!$E$10</f>
        <v/>
      </c>
      <c r="F6" s="7">
        <f>IF(B6&gt;=D6,"🟢 Logrado",IF(B6&gt;=D6*0.9,"🟡 En riesgo","🔴 No logrado"))</f>
        <v/>
      </c>
    </row>
    <row r="7">
      <c r="A7" s="5" t="inlineStr">
        <is>
          <t>O2C — Collections effectiveness (%)</t>
        </is>
      </c>
      <c r="B7" s="7">
        <f>'1. Monthly Input'!$B$11</f>
        <v/>
      </c>
      <c r="C7" s="8">
        <f>'1. Monthly Input'!$C$11</f>
        <v/>
      </c>
      <c r="D7" s="8">
        <f>'1. Monthly Input'!$D$11</f>
        <v/>
      </c>
      <c r="E7" s="8">
        <f>'1. Monthly Input'!$E$11</f>
        <v/>
      </c>
      <c r="F7" s="7">
        <f>IF(B7&gt;=D7,"🟢 Logrado",IF(B7&gt;=D7*0.9,"🟡 En riesgo","🔴 No logrado"))</f>
        <v/>
      </c>
    </row>
  </sheetData>
  <mergeCells count="2">
    <mergeCell ref="A2:F2"/>
    <mergeCell ref="A1:F1"/>
  </mergeCells>
  <conditionalFormatting sqref="F5:F7">
    <cfRule type="expression" priority="1" dxfId="0">
      <formula>ISNUMBER(SEARCH("Logrado",F5))</formula>
    </cfRule>
    <cfRule type="expression" priority="2" dxfId="1">
      <formula>ISNUMBER(SEARCH("riesgo",F5))</formula>
    </cfRule>
    <cfRule type="expression" priority="3" dxfId="2">
      <formula>ISNUMBER(SEARCH("No logrado",F5))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6" customHeight="1">
      <c r="A1" s="1" t="inlineStr">
        <is>
          <t>R2R KPIs</t>
        </is>
      </c>
    </row>
    <row r="2" ht="16" customHeight="1">
      <c r="A2" s="2" t="inlineStr">
        <is>
          <t>Record-to-Report / General Ledger</t>
        </is>
      </c>
    </row>
    <row r="4">
      <c r="A4" s="3" t="inlineStr">
        <is>
          <t>KPI</t>
        </is>
      </c>
      <c r="B4" s="4" t="inlineStr">
        <is>
          <t>Actual</t>
        </is>
      </c>
      <c r="C4" s="4" t="inlineStr">
        <is>
          <t>Anterior</t>
        </is>
      </c>
      <c r="D4" s="4" t="inlineStr">
        <is>
          <t>Meta</t>
        </is>
      </c>
      <c r="E4" s="4" t="inlineStr">
        <is>
          <t>Best pract.</t>
        </is>
      </c>
      <c r="F4" s="4" t="inlineStr">
        <is>
          <t>Status</t>
        </is>
      </c>
    </row>
    <row r="5">
      <c r="A5" s="5" t="inlineStr">
        <is>
          <t>R2R — Días de cierre mensual</t>
        </is>
      </c>
      <c r="B5" s="7">
        <f>'1. Monthly Input'!$B$12</f>
        <v/>
      </c>
      <c r="C5" s="8">
        <f>'1. Monthly Input'!$C$12</f>
        <v/>
      </c>
      <c r="D5" s="8">
        <f>'1. Monthly Input'!$D$12</f>
        <v/>
      </c>
      <c r="E5" s="8">
        <f>'1. Monthly Input'!$E$12</f>
        <v/>
      </c>
      <c r="F5" s="7">
        <f>IF(B5&lt;=D5,"🟢 Logrado",IF(B5&lt;=D5*1.1,"🟡 En riesgo","🔴 No logrado"))</f>
        <v/>
      </c>
    </row>
    <row r="6">
      <c r="A6" s="5" t="inlineStr">
        <is>
          <t>R2R — Reconciliaciones a tiempo (%)</t>
        </is>
      </c>
      <c r="B6" s="7">
        <f>'1. Monthly Input'!$B$13</f>
        <v/>
      </c>
      <c r="C6" s="8">
        <f>'1. Monthly Input'!$C$13</f>
        <v/>
      </c>
      <c r="D6" s="8">
        <f>'1. Monthly Input'!$D$13</f>
        <v/>
      </c>
      <c r="E6" s="8">
        <f>'1. Monthly Input'!$E$13</f>
        <v/>
      </c>
      <c r="F6" s="7">
        <f>IF(B6&gt;=D6,"🟢 Logrado",IF(B6&gt;=D6*0.9,"🟡 En riesgo","🔴 No logrado"))</f>
        <v/>
      </c>
    </row>
    <row r="7">
      <c r="A7" s="5" t="inlineStr">
        <is>
          <t>R2R — Journals automatizados (%)</t>
        </is>
      </c>
      <c r="B7" s="7">
        <f>'1. Monthly Input'!$B$14</f>
        <v/>
      </c>
      <c r="C7" s="8">
        <f>'1. Monthly Input'!$C$14</f>
        <v/>
      </c>
      <c r="D7" s="8">
        <f>'1. Monthly Input'!$D$14</f>
        <v/>
      </c>
      <c r="E7" s="8">
        <f>'1. Monthly Input'!$E$14</f>
        <v/>
      </c>
      <c r="F7" s="7">
        <f>IF(B7&gt;=D7,"🟢 Logrado",IF(B7&gt;=D7*0.9,"🟡 En riesgo","🔴 No logrado"))</f>
        <v/>
      </c>
    </row>
  </sheetData>
  <mergeCells count="2">
    <mergeCell ref="A2:F2"/>
    <mergeCell ref="A1:F1"/>
  </mergeCells>
  <conditionalFormatting sqref="F5:F7">
    <cfRule type="expression" priority="1" dxfId="0">
      <formula>ISNUMBER(SEARCH("Logrado",F5))</formula>
    </cfRule>
    <cfRule type="expression" priority="2" dxfId="1">
      <formula>ISNUMBER(SEARCH("riesgo",F5))</formula>
    </cfRule>
    <cfRule type="expression" priority="3" dxfId="2">
      <formula>ISNUMBER(SEARCH("No logrado",F5))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6" customHeight="1">
      <c r="A1" s="1" t="inlineStr">
        <is>
          <t>Service KPIs</t>
        </is>
      </c>
    </row>
    <row r="2" ht="16" customHeight="1">
      <c r="A2" s="2" t="inlineStr">
        <is>
          <t>Satisfacción y cumplimiento de servicio</t>
        </is>
      </c>
    </row>
    <row r="4">
      <c r="A4" s="3" t="inlineStr">
        <is>
          <t>KPI</t>
        </is>
      </c>
      <c r="B4" s="4" t="inlineStr">
        <is>
          <t>Actual</t>
        </is>
      </c>
      <c r="C4" s="4" t="inlineStr">
        <is>
          <t>Anterior</t>
        </is>
      </c>
      <c r="D4" s="4" t="inlineStr">
        <is>
          <t>Meta</t>
        </is>
      </c>
      <c r="E4" s="4" t="inlineStr">
        <is>
          <t>Best pract.</t>
        </is>
      </c>
      <c r="F4" s="4" t="inlineStr">
        <is>
          <t>Status</t>
        </is>
      </c>
    </row>
    <row r="5">
      <c r="A5" s="5" t="inlineStr">
        <is>
          <t>Servicio — CSAT (1-5)</t>
        </is>
      </c>
      <c r="B5" s="7">
        <f>'1. Monthly Input'!$B$15</f>
        <v/>
      </c>
      <c r="C5" s="8">
        <f>'1. Monthly Input'!$C$15</f>
        <v/>
      </c>
      <c r="D5" s="8">
        <f>'1. Monthly Input'!$D$15</f>
        <v/>
      </c>
      <c r="E5" s="8">
        <f>'1. Monthly Input'!$E$15</f>
        <v/>
      </c>
      <c r="F5" s="7">
        <f>IF(B5&gt;=D5,"🟢 Logrado",IF(B5&gt;=D5*0.9,"🟡 En riesgo","🔴 No logrado"))</f>
        <v/>
      </c>
    </row>
    <row r="6">
      <c r="A6" s="5" t="inlineStr">
        <is>
          <t>Servicio — NPS</t>
        </is>
      </c>
      <c r="B6" s="7">
        <f>'1. Monthly Input'!$B$16</f>
        <v/>
      </c>
      <c r="C6" s="8">
        <f>'1. Monthly Input'!$C$16</f>
        <v/>
      </c>
      <c r="D6" s="8">
        <f>'1. Monthly Input'!$D$16</f>
        <v/>
      </c>
      <c r="E6" s="8">
        <f>'1. Monthly Input'!$E$16</f>
        <v/>
      </c>
      <c r="F6" s="7">
        <f>IF(B6&gt;=D6,"🟢 Logrado",IF(B6&gt;=D6*0.9,"🟡 En riesgo","🔴 No logrado"))</f>
        <v/>
      </c>
    </row>
    <row r="7">
      <c r="A7" s="5" t="inlineStr">
        <is>
          <t>Servicio — SLA compliance (%)</t>
        </is>
      </c>
      <c r="B7" s="7">
        <f>'1. Monthly Input'!$B$17</f>
        <v/>
      </c>
      <c r="C7" s="8">
        <f>'1. Monthly Input'!$C$17</f>
        <v/>
      </c>
      <c r="D7" s="8">
        <f>'1. Monthly Input'!$D$17</f>
        <v/>
      </c>
      <c r="E7" s="8">
        <f>'1. Monthly Input'!$E$17</f>
        <v/>
      </c>
      <c r="F7" s="7">
        <f>IF(B7&gt;=D7,"🟢 Logrado",IF(B7&gt;=D7*0.9,"🟡 En riesgo","🔴 No logrado"))</f>
        <v/>
      </c>
    </row>
  </sheetData>
  <mergeCells count="2">
    <mergeCell ref="A2:F2"/>
    <mergeCell ref="A1:F1"/>
  </mergeCells>
  <conditionalFormatting sqref="F5:F7">
    <cfRule type="expression" priority="1" dxfId="0">
      <formula>ISNUMBER(SEARCH("Logrado",F5))</formula>
    </cfRule>
    <cfRule type="expression" priority="2" dxfId="1">
      <formula>ISNUMBER(SEARCH("riesgo",F5))</formula>
    </cfRule>
    <cfRule type="expression" priority="3" dxfId="2">
      <formula>ISNUMBER(SEARCH("No logrado",F5))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26" customHeight="1">
      <c r="A1" s="1" t="inlineStr">
        <is>
          <t>People KPIs</t>
        </is>
      </c>
    </row>
    <row r="2" ht="16" customHeight="1">
      <c r="A2" s="2" t="inlineStr">
        <is>
          <t>Talento y organización del GBS</t>
        </is>
      </c>
    </row>
    <row r="4">
      <c r="A4" s="3" t="inlineStr">
        <is>
          <t>KPI</t>
        </is>
      </c>
      <c r="B4" s="4" t="inlineStr">
        <is>
          <t>Actual</t>
        </is>
      </c>
      <c r="C4" s="4" t="inlineStr">
        <is>
          <t>Anterior</t>
        </is>
      </c>
      <c r="D4" s="4" t="inlineStr">
        <is>
          <t>Meta</t>
        </is>
      </c>
      <c r="E4" s="4" t="inlineStr">
        <is>
          <t>Best pract.</t>
        </is>
      </c>
      <c r="F4" s="4" t="inlineStr">
        <is>
          <t>Status</t>
        </is>
      </c>
    </row>
    <row r="5">
      <c r="A5" s="5" t="inlineStr">
        <is>
          <t>People — Rotación anualizada (%)</t>
        </is>
      </c>
      <c r="B5" s="7">
        <f>'1. Monthly Input'!$B$18</f>
        <v/>
      </c>
      <c r="C5" s="8">
        <f>'1. Monthly Input'!$C$18</f>
        <v/>
      </c>
      <c r="D5" s="8">
        <f>'1. Monthly Input'!$D$18</f>
        <v/>
      </c>
      <c r="E5" s="8">
        <f>'1. Monthly Input'!$E$18</f>
        <v/>
      </c>
      <c r="F5" s="7">
        <f>IF(B5&lt;=D5,"🟢 Logrado",IF(B5&lt;=D5*1.1,"🟡 En riesgo","🔴 No logrado"))</f>
        <v/>
      </c>
    </row>
    <row r="6">
      <c r="A6" s="5" t="inlineStr">
        <is>
          <t>People — Engagement (%)</t>
        </is>
      </c>
      <c r="B6" s="7">
        <f>'1. Monthly Input'!$B$19</f>
        <v/>
      </c>
      <c r="C6" s="8">
        <f>'1. Monthly Input'!$C$19</f>
        <v/>
      </c>
      <c r="D6" s="8">
        <f>'1. Monthly Input'!$D$19</f>
        <v/>
      </c>
      <c r="E6" s="8">
        <f>'1. Monthly Input'!$E$19</f>
        <v/>
      </c>
      <c r="F6" s="7">
        <f>IF(B6&gt;=D6,"🟢 Logrado",IF(B6&gt;=D6*0.9,"🟡 En riesgo","🔴 No logrado"))</f>
        <v/>
      </c>
    </row>
    <row r="7">
      <c r="A7" s="5" t="inlineStr">
        <is>
          <t>People — Headcount (FTE)</t>
        </is>
      </c>
      <c r="B7" s="7">
        <f>'1. Monthly Input'!$B$20</f>
        <v/>
      </c>
      <c r="C7" s="8">
        <f>'1. Monthly Input'!$C$20</f>
        <v/>
      </c>
      <c r="D7" s="8">
        <f>'1. Monthly Input'!$D$20</f>
        <v/>
      </c>
      <c r="E7" s="8">
        <f>'1. Monthly Input'!$E$20</f>
        <v/>
      </c>
      <c r="F7" s="7">
        <f>IF(B7&gt;=D7,"🟢 Logrado",IF(B7&gt;=D7*0.9,"🟡 En riesgo","🔴 No logrado"))</f>
        <v/>
      </c>
    </row>
  </sheetData>
  <mergeCells count="2">
    <mergeCell ref="A2:F2"/>
    <mergeCell ref="A1:F1"/>
  </mergeCells>
  <conditionalFormatting sqref="F5:F7">
    <cfRule type="expression" priority="1" dxfId="0">
      <formula>ISNUMBER(SEARCH("Logrado",F5))</formula>
    </cfRule>
    <cfRule type="expression" priority="2" dxfId="1">
      <formula>ISNUMBER(SEARCH("riesgo",F5))</formula>
    </cfRule>
    <cfRule type="expression" priority="3" dxfId="2">
      <formula>ISNUMBER(SEARCH("No logrado",F5))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Executive Dashboard</t>
        </is>
      </c>
    </row>
    <row r="2" ht="16" customHeight="1">
      <c r="A2" s="2" t="inlineStr">
        <is>
          <t>RAG status + tendencia para el Comité de Operaciones</t>
        </is>
      </c>
    </row>
    <row r="4">
      <c r="A4" s="3" t="inlineStr">
        <is>
          <t>KPI clave</t>
        </is>
      </c>
      <c r="B4" s="4" t="inlineStr">
        <is>
          <t>Actual</t>
        </is>
      </c>
      <c r="C4" s="4" t="inlineStr">
        <is>
          <t>Meta</t>
        </is>
      </c>
      <c r="D4" s="4" t="inlineStr">
        <is>
          <t>Status</t>
        </is>
      </c>
    </row>
    <row r="5">
      <c r="A5" s="5" t="inlineStr">
        <is>
          <t>Touchless invoice rate (%)</t>
        </is>
      </c>
      <c r="B5" s="7">
        <f>'1. Monthly Input'!$B$6</f>
        <v/>
      </c>
      <c r="C5" s="8">
        <f>'1. Monthly Input'!$D$6</f>
        <v/>
      </c>
      <c r="D5" s="7">
        <f>IF(B5&gt;=C5,"🟢",IF(B5&gt;=C5*0.9,"🟡","🔴"))</f>
        <v/>
      </c>
    </row>
    <row r="6">
      <c r="A6" s="5" t="inlineStr">
        <is>
          <t>DSO (días)</t>
        </is>
      </c>
      <c r="B6" s="7">
        <f>'1. Monthly Input'!$B$9</f>
        <v/>
      </c>
      <c r="C6" s="8">
        <f>'1. Monthly Input'!$D$9</f>
        <v/>
      </c>
      <c r="D6" s="7">
        <f>IF(B6&lt;=C6,"🟢",IF(B6&lt;=C6*1.1,"🟡","🔴"))</f>
        <v/>
      </c>
    </row>
    <row r="7">
      <c r="A7" s="5" t="inlineStr">
        <is>
          <t>Días de cierre</t>
        </is>
      </c>
      <c r="B7" s="7">
        <f>'1. Monthly Input'!$B$12</f>
        <v/>
      </c>
      <c r="C7" s="8">
        <f>'1. Monthly Input'!$D$12</f>
        <v/>
      </c>
      <c r="D7" s="7">
        <f>IF(B7&lt;=C7,"🟢",IF(B7&lt;=C7*1.1,"🟡","🔴"))</f>
        <v/>
      </c>
    </row>
    <row r="8">
      <c r="A8" s="5" t="inlineStr">
        <is>
          <t>SLA compliance (%)</t>
        </is>
      </c>
      <c r="B8" s="7">
        <f>'1. Monthly Input'!$B$17</f>
        <v/>
      </c>
      <c r="C8" s="8">
        <f>'1. Monthly Input'!$D$17</f>
        <v/>
      </c>
      <c r="D8" s="7">
        <f>IF(B8&gt;=C8,"🟢",IF(B8&gt;=C8*0.9,"🟡","🔴"))</f>
        <v/>
      </c>
    </row>
    <row r="9">
      <c r="A9" s="5" t="inlineStr">
        <is>
          <t>CSAT</t>
        </is>
      </c>
      <c r="B9" s="7">
        <f>'1. Monthly Input'!$B$15</f>
        <v/>
      </c>
      <c r="C9" s="8">
        <f>'1. Monthly Input'!$D$15</f>
        <v/>
      </c>
      <c r="D9" s="7">
        <f>IF(B9&gt;=C9,"🟢",IF(B9&gt;=C9*0.9,"🟡","🔴"))</f>
        <v/>
      </c>
    </row>
    <row r="10">
      <c r="A10" s="5" t="inlineStr">
        <is>
          <t>Rotación (%)</t>
        </is>
      </c>
      <c r="B10" s="7">
        <f>'1. Monthly Input'!$B$18</f>
        <v/>
      </c>
      <c r="C10" s="8">
        <f>'1. Monthly Input'!$D$18</f>
        <v/>
      </c>
      <c r="D10" s="7">
        <f>IF(B10&lt;=C10,"🟢",IF(B10&lt;=C10*1.1,"🟡","🔴"))</f>
        <v/>
      </c>
    </row>
    <row r="13">
      <c r="A13" s="9" t="inlineStr">
        <is>
          <t>Tendencia (editable) — Touchless rate %</t>
        </is>
      </c>
      <c r="B13" s="10" t="inlineStr">
        <is>
          <t>M-5</t>
        </is>
      </c>
      <c r="C13" s="10" t="inlineStr">
        <is>
          <t>M-4</t>
        </is>
      </c>
      <c r="D13" s="10" t="inlineStr">
        <is>
          <t>M-3</t>
        </is>
      </c>
      <c r="E13" s="10" t="inlineStr">
        <is>
          <t>M-2</t>
        </is>
      </c>
      <c r="F13" s="10" t="inlineStr">
        <is>
          <t>M-1</t>
        </is>
      </c>
      <c r="G13" s="10" t="inlineStr">
        <is>
          <t>Actual</t>
        </is>
      </c>
    </row>
    <row r="14">
      <c r="A14" s="5" t="inlineStr">
        <is>
          <t>Touchless %</t>
        </is>
      </c>
      <c r="B14" s="11" t="n">
        <v>0.52</v>
      </c>
      <c r="C14" s="11" t="n">
        <v>0.55</v>
      </c>
      <c r="D14" s="11" t="n">
        <v>0.57</v>
      </c>
      <c r="E14" s="11" t="n">
        <v>0.58</v>
      </c>
      <c r="F14" s="11" t="n">
        <v>0.6</v>
      </c>
      <c r="G14" s="12">
        <f>'1. Monthly Input'!$B$6</f>
        <v/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14" customWidth="1" min="4" max="4"/>
    <col width="18" customWidth="1" min="5" max="5"/>
  </cols>
  <sheetData>
    <row r="1" ht="26" customHeight="1">
      <c r="A1" s="1" t="inlineStr">
        <is>
          <t>Benchmark Comparison</t>
        </is>
      </c>
    </row>
    <row r="2" ht="16" customHeight="1">
      <c r="A2" s="2" t="inlineStr">
        <is>
          <t>Actual vs. best practice (Hackett / APQC referencial)</t>
        </is>
      </c>
    </row>
    <row r="4">
      <c r="A4" s="3" t="inlineStr">
        <is>
          <t>KPI</t>
        </is>
      </c>
      <c r="B4" s="4" t="inlineStr">
        <is>
          <t>Actual</t>
        </is>
      </c>
      <c r="C4" s="4" t="inlineStr">
        <is>
          <t>Best practice</t>
        </is>
      </c>
      <c r="D4" s="4" t="inlineStr">
        <is>
          <t>Gap</t>
        </is>
      </c>
      <c r="E4" s="4" t="inlineStr">
        <is>
          <t>% del benchmark</t>
        </is>
      </c>
    </row>
    <row r="5">
      <c r="A5" s="5" t="inlineStr">
        <is>
          <t>P2P — Facturas procesadas (#)</t>
        </is>
      </c>
      <c r="B5" s="7">
        <f>'1. Monthly Input'!$B$5</f>
        <v/>
      </c>
      <c r="C5" s="8">
        <f>'1. Monthly Input'!$E$5</f>
        <v/>
      </c>
      <c r="D5" s="8">
        <f>B5-C5</f>
        <v/>
      </c>
      <c r="E5" s="12">
        <f>IFERROR(B5/C5,"n/a")</f>
        <v/>
      </c>
    </row>
    <row r="6">
      <c r="A6" s="5" t="inlineStr">
        <is>
          <t>P2P — Touchless invoice rate (%)</t>
        </is>
      </c>
      <c r="B6" s="7">
        <f>'1. Monthly Input'!$B$6</f>
        <v/>
      </c>
      <c r="C6" s="8">
        <f>'1. Monthly Input'!$E$6</f>
        <v/>
      </c>
      <c r="D6" s="8">
        <f>B6-C6</f>
        <v/>
      </c>
      <c r="E6" s="12">
        <f>IFERROR(B6/C6,"n/a")</f>
        <v/>
      </c>
    </row>
    <row r="7">
      <c r="A7" s="5" t="inlineStr">
        <is>
          <t>P2P — Costo por factura (USD)</t>
        </is>
      </c>
      <c r="B7" s="7">
        <f>'1. Monthly Input'!$B$7</f>
        <v/>
      </c>
      <c r="C7" s="8">
        <f>'1. Monthly Input'!$E$7</f>
        <v/>
      </c>
      <c r="D7" s="8">
        <f>B7-C7</f>
        <v/>
      </c>
      <c r="E7" s="12">
        <f>IFERROR(B7/C7,"n/a")</f>
        <v/>
      </c>
    </row>
    <row r="8">
      <c r="A8" s="5" t="inlineStr">
        <is>
          <t>P2P — % pagos a tiempo</t>
        </is>
      </c>
      <c r="B8" s="7">
        <f>'1. Monthly Input'!$B$8</f>
        <v/>
      </c>
      <c r="C8" s="8">
        <f>'1. Monthly Input'!$E$8</f>
        <v/>
      </c>
      <c r="D8" s="8">
        <f>B8-C8</f>
        <v/>
      </c>
      <c r="E8" s="12">
        <f>IFERROR(B8/C8,"n/a")</f>
        <v/>
      </c>
    </row>
    <row r="9">
      <c r="A9" s="5" t="inlineStr">
        <is>
          <t>O2C — DSO (días)</t>
        </is>
      </c>
      <c r="B9" s="7">
        <f>'1. Monthly Input'!$B$9</f>
        <v/>
      </c>
      <c r="C9" s="8">
        <f>'1. Monthly Input'!$E$9</f>
        <v/>
      </c>
      <c r="D9" s="8">
        <f>B9-C9</f>
        <v/>
      </c>
      <c r="E9" s="12">
        <f>IFERROR(B9/C9,"n/a")</f>
        <v/>
      </c>
    </row>
    <row r="10">
      <c r="A10" s="5" t="inlineStr">
        <is>
          <t>O2C — Cash application automática (%)</t>
        </is>
      </c>
      <c r="B10" s="7">
        <f>'1. Monthly Input'!$B$10</f>
        <v/>
      </c>
      <c r="C10" s="8">
        <f>'1. Monthly Input'!$E$10</f>
        <v/>
      </c>
      <c r="D10" s="8">
        <f>B10-C10</f>
        <v/>
      </c>
      <c r="E10" s="12">
        <f>IFERROR(B10/C10,"n/a")</f>
        <v/>
      </c>
    </row>
    <row r="11">
      <c r="A11" s="5" t="inlineStr">
        <is>
          <t>O2C — Collections effectiveness (%)</t>
        </is>
      </c>
      <c r="B11" s="7">
        <f>'1. Monthly Input'!$B$11</f>
        <v/>
      </c>
      <c r="C11" s="8">
        <f>'1. Monthly Input'!$E$11</f>
        <v/>
      </c>
      <c r="D11" s="8">
        <f>B11-C11</f>
        <v/>
      </c>
      <c r="E11" s="12">
        <f>IFERROR(B11/C11,"n/a")</f>
        <v/>
      </c>
    </row>
    <row r="12">
      <c r="A12" s="5" t="inlineStr">
        <is>
          <t>R2R — Días de cierre mensual</t>
        </is>
      </c>
      <c r="B12" s="7">
        <f>'1. Monthly Input'!$B$12</f>
        <v/>
      </c>
      <c r="C12" s="8">
        <f>'1. Monthly Input'!$E$12</f>
        <v/>
      </c>
      <c r="D12" s="8">
        <f>B12-C12</f>
        <v/>
      </c>
      <c r="E12" s="12">
        <f>IFERROR(B12/C12,"n/a")</f>
        <v/>
      </c>
    </row>
    <row r="13">
      <c r="A13" s="5" t="inlineStr">
        <is>
          <t>R2R — Reconciliaciones a tiempo (%)</t>
        </is>
      </c>
      <c r="B13" s="7">
        <f>'1. Monthly Input'!$B$13</f>
        <v/>
      </c>
      <c r="C13" s="8">
        <f>'1. Monthly Input'!$E$13</f>
        <v/>
      </c>
      <c r="D13" s="8">
        <f>B13-C13</f>
        <v/>
      </c>
      <c r="E13" s="12">
        <f>IFERROR(B13/C13,"n/a")</f>
        <v/>
      </c>
    </row>
    <row r="14">
      <c r="A14" s="5" t="inlineStr">
        <is>
          <t>R2R — Journals automatizados (%)</t>
        </is>
      </c>
      <c r="B14" s="7">
        <f>'1. Monthly Input'!$B$14</f>
        <v/>
      </c>
      <c r="C14" s="8">
        <f>'1. Monthly Input'!$E$14</f>
        <v/>
      </c>
      <c r="D14" s="8">
        <f>B14-C14</f>
        <v/>
      </c>
      <c r="E14" s="12">
        <f>IFERROR(B14/C14,"n/a")</f>
        <v/>
      </c>
    </row>
    <row r="15">
      <c r="A15" s="5" t="inlineStr">
        <is>
          <t>Servicio — CSAT (1-5)</t>
        </is>
      </c>
      <c r="B15" s="7">
        <f>'1. Monthly Input'!$B$15</f>
        <v/>
      </c>
      <c r="C15" s="8">
        <f>'1. Monthly Input'!$E$15</f>
        <v/>
      </c>
      <c r="D15" s="8">
        <f>B15-C15</f>
        <v/>
      </c>
      <c r="E15" s="12">
        <f>IFERROR(B15/C15,"n/a")</f>
        <v/>
      </c>
    </row>
    <row r="16">
      <c r="A16" s="5" t="inlineStr">
        <is>
          <t>Servicio — NPS</t>
        </is>
      </c>
      <c r="B16" s="7">
        <f>'1. Monthly Input'!$B$16</f>
        <v/>
      </c>
      <c r="C16" s="8">
        <f>'1. Monthly Input'!$E$16</f>
        <v/>
      </c>
      <c r="D16" s="8">
        <f>B16-C16</f>
        <v/>
      </c>
      <c r="E16" s="12">
        <f>IFERROR(B16/C16,"n/a")</f>
        <v/>
      </c>
    </row>
    <row r="17">
      <c r="A17" s="5" t="inlineStr">
        <is>
          <t>Servicio — SLA compliance (%)</t>
        </is>
      </c>
      <c r="B17" s="7">
        <f>'1. Monthly Input'!$B$17</f>
        <v/>
      </c>
      <c r="C17" s="8">
        <f>'1. Monthly Input'!$E$17</f>
        <v/>
      </c>
      <c r="D17" s="8">
        <f>B17-C17</f>
        <v/>
      </c>
      <c r="E17" s="12">
        <f>IFERROR(B17/C17,"n/a")</f>
        <v/>
      </c>
    </row>
    <row r="18">
      <c r="A18" s="5" t="inlineStr">
        <is>
          <t>People — Rotación anualizada (%)</t>
        </is>
      </c>
      <c r="B18" s="7">
        <f>'1. Monthly Input'!$B$18</f>
        <v/>
      </c>
      <c r="C18" s="8">
        <f>'1. Monthly Input'!$E$18</f>
        <v/>
      </c>
      <c r="D18" s="8">
        <f>B18-C18</f>
        <v/>
      </c>
      <c r="E18" s="12">
        <f>IFERROR(B18/C18,"n/a")</f>
        <v/>
      </c>
    </row>
    <row r="19">
      <c r="A19" s="5" t="inlineStr">
        <is>
          <t>People — Engagement (%)</t>
        </is>
      </c>
      <c r="B19" s="7">
        <f>'1. Monthly Input'!$B$19</f>
        <v/>
      </c>
      <c r="C19" s="8">
        <f>'1. Monthly Input'!$E$19</f>
        <v/>
      </c>
      <c r="D19" s="8">
        <f>B19-C19</f>
        <v/>
      </c>
      <c r="E19" s="12">
        <f>IFERROR(B19/C19,"n/a")</f>
        <v/>
      </c>
    </row>
    <row r="20">
      <c r="A20" s="5" t="inlineStr">
        <is>
          <t>People — Headcount (FTE)</t>
        </is>
      </c>
      <c r="B20" s="7">
        <f>'1. Monthly Input'!$B$20</f>
        <v/>
      </c>
      <c r="C20" s="8">
        <f>'1. Monthly Input'!$E$20</f>
        <v/>
      </c>
      <c r="D20" s="8">
        <f>B20-C20</f>
        <v/>
      </c>
      <c r="E20" s="12">
        <f>IFERROR(B20/C20,"n/a")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2026-06-04T20:38:58Z</dcterms:created>
  <dcterms:modified xmlns:dcterms="http://purl.org/dc/terms/" xmlns:xsi="http://www.w3.org/2001/XMLSchema-instance" xsi:type="dcterms:W3CDTF">2026-06-04T20:38:58Z</dcterms:modified>
</cp:coreProperties>
</file>