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ssumptions" sheetId="1" state="visible" r:id="rId1"/>
    <sheet xmlns:r="http://schemas.openxmlformats.org/officeDocument/2006/relationships" name="2. Labor Arbitrage" sheetId="2" state="visible" r:id="rId2"/>
    <sheet xmlns:r="http://schemas.openxmlformats.org/officeDocument/2006/relationships" name="3. Automation" sheetId="3" state="visible" r:id="rId3"/>
    <sheet xmlns:r="http://schemas.openxmlformats.org/officeDocument/2006/relationships" name="4. One-Time Costs" sheetId="4" state="visible" r:id="rId4"/>
    <sheet xmlns:r="http://schemas.openxmlformats.org/officeDocument/2006/relationships" name="5. Operating Costs" sheetId="5" state="visible" r:id="rId5"/>
    <sheet xmlns:r="http://schemas.openxmlformats.org/officeDocument/2006/relationships" name="6. P&amp;L Summary" sheetId="6" state="visible" r:id="rId6"/>
    <sheet xmlns:r="http://schemas.openxmlformats.org/officeDocument/2006/relationships" name="7. Financial Metrics" sheetId="7" state="visible" r:id="rId7"/>
    <sheet xmlns:r="http://schemas.openxmlformats.org/officeDocument/2006/relationships" name="8. Sensitivity" sheetId="8" state="visible" r:id="rId8"/>
    <sheet xmlns:r="http://schemas.openxmlformats.org/officeDocument/2006/relationships" name="9. Exec 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;($#,##0)"/>
    <numFmt numFmtId="166" formatCode="0.0&quot;x&quot;"/>
    <numFmt numFmtId="167" formatCode="#,##0.0"/>
    <numFmt numFmtId="168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1F3864"/>
      <sz val="12"/>
    </font>
    <font>
      <name val="Calibri"/>
      <sz val="10"/>
    </font>
    <font>
      <name val="Calibri"/>
      <b val="1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  <font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8" fontId="8" fillId="3" borderId="1" applyAlignment="1" pivotButton="0" quotePrefix="0" xfId="0">
      <alignment horizontal="center" vertical="center"/>
    </xf>
    <xf numFmtId="9" fontId="8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Flujo de caja acumulado (5 años)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'9. Exec Dashboard'!$B$8:$G$8</f>
            </numRef>
          </cat>
          <val>
            <numRef>
              <f>'9. Exec Dashboard'!$B$9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'9. Exec Dashboard'!$B$8:$G$8</f>
            </numRef>
          </cat>
          <val>
            <numRef>
              <f>'9. Exec Dashboard'!$C$9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'9. Exec Dashboard'!$B$8:$G$8</f>
            </numRef>
          </cat>
          <val>
            <numRef>
              <f>'9. Exec Dashboard'!$D$9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'9. Exec Dashboard'!$B$8:$G$8</f>
            </numRef>
          </cat>
          <val>
            <numRef>
              <f>'9. Exec Dashboard'!$E$9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'9. Exec Dashboard'!$B$8:$G$8</f>
            </numRef>
          </cat>
          <val>
            <numRef>
              <f>'9. Exec Dashboard'!$F$9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'9. Exec Dashboard'!$B$8:$G$8</f>
            </numRef>
          </cat>
          <val>
            <numRef>
              <f>'9. Exec Dashboard'!$G$9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Flujo neto por año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'9. Exec Dashboard'!$B$22:$G$22</f>
            </numRef>
          </cat>
          <val>
            <numRef>
              <f>'9. Exec Dashboard'!$B$23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'9. Exec Dashboard'!$B$22:$G$22</f>
            </numRef>
          </cat>
          <val>
            <numRef>
              <f>'9. Exec Dashboard'!$C$23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'9. Exec Dashboard'!$B$22:$G$22</f>
            </numRef>
          </cat>
          <val>
            <numRef>
              <f>'9. Exec Dashboard'!$D$23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'9. Exec Dashboard'!$B$22:$G$22</f>
            </numRef>
          </cat>
          <val>
            <numRef>
              <f>'9. Exec Dashboard'!$E$23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'9. Exec Dashboard'!$B$22:$G$22</f>
            </numRef>
          </cat>
          <val>
            <numRef>
              <f>'9. Exec Dashboard'!$F$23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'9. Exec Dashboard'!$B$22:$G$22</f>
            </numRef>
          </cat>
          <val>
            <numRef>
              <f>'9. Exec Dashboard'!$G$23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SSC / GBS — Business Case Model</t>
        </is>
      </c>
    </row>
    <row r="2" ht="16" customHeight="1">
      <c r="A2" s="2" t="inlineStr">
        <is>
          <t>Plantilla 5 años · Celdas amarillas = editables · Cálculo automático</t>
        </is>
      </c>
    </row>
    <row r="4">
      <c r="A4" s="3" t="inlineStr">
        <is>
          <t>Parámetros generales</t>
        </is>
      </c>
    </row>
    <row r="5">
      <c r="A5" s="4" t="inlineStr">
        <is>
          <t>Moneda del modelo</t>
        </is>
      </c>
      <c r="B5" s="5" t="inlineStr">
        <is>
          <t>USD</t>
        </is>
      </c>
    </row>
    <row r="6">
      <c r="A6" s="4" t="inlineStr">
        <is>
          <t>Tasa de descuento / WACC</t>
        </is>
      </c>
      <c r="B6" s="6" t="n">
        <v>0.1</v>
      </c>
    </row>
    <row r="7">
      <c r="A7" s="4" t="inlineStr">
        <is>
          <t>Salario promedio FTE origen (fully-loaded, USD/año)</t>
        </is>
      </c>
      <c r="B7" s="7" t="n">
        <v>55000</v>
      </c>
    </row>
    <row r="8">
      <c r="A8" s="4" t="inlineStr">
        <is>
          <t>Costo promedio FTE Costa Rica (fully-loaded, USD/año)</t>
        </is>
      </c>
      <c r="B8" s="7" t="n">
        <v>26000</v>
      </c>
    </row>
    <row r="9">
      <c r="A9" s="4" t="inlineStr">
        <is>
          <t>Factor de cargas sociales CR (sobre salario base)</t>
        </is>
      </c>
      <c r="B9" s="6" t="n">
        <v>0.265</v>
      </c>
    </row>
    <row r="10">
      <c r="A10" s="4" t="inlineStr">
        <is>
          <t>Inflación salarial CR anual</t>
        </is>
      </c>
      <c r="B10" s="6" t="n">
        <v>0.05</v>
      </c>
    </row>
    <row r="11">
      <c r="A11" s="4" t="inlineStr">
        <is>
          <t>FTEs retenidos en origen (retained org)</t>
        </is>
      </c>
      <c r="B11" s="8" t="n">
        <v>6</v>
      </c>
    </row>
    <row r="12">
      <c r="A12" s="4" t="inlineStr">
        <is>
          <t>Management fee intercompany (% del costo SSC)</t>
        </is>
      </c>
      <c r="B12" s="6" t="n">
        <v>0.06</v>
      </c>
    </row>
    <row r="14">
      <c r="A14" s="3" t="inlineStr">
        <is>
          <t>Ramp-up: % del ahorro steady-state realizado por año</t>
        </is>
      </c>
    </row>
    <row r="15">
      <c r="A15" s="9" t="inlineStr">
        <is>
          <t>Factor de realización del ahorro</t>
        </is>
      </c>
      <c r="B15" s="10" t="inlineStr">
        <is>
          <t>Year 0</t>
        </is>
      </c>
      <c r="C15" s="10" t="inlineStr">
        <is>
          <t>Year 1</t>
        </is>
      </c>
      <c r="D15" s="10" t="inlineStr">
        <is>
          <t>Year 2</t>
        </is>
      </c>
      <c r="E15" s="10" t="inlineStr">
        <is>
          <t>Year 3</t>
        </is>
      </c>
      <c r="F15" s="10" t="inlineStr">
        <is>
          <t>Year 4</t>
        </is>
      </c>
      <c r="G15" s="10" t="inlineStr">
        <is>
          <t>Year 5</t>
        </is>
      </c>
    </row>
    <row r="16">
      <c r="A16" s="4" t="inlineStr">
        <is>
          <t>Valor (editable)</t>
        </is>
      </c>
      <c r="B16" s="11" t="n">
        <v>0</v>
      </c>
      <c r="C16" s="11" t="n">
        <v>0.4</v>
      </c>
      <c r="D16" s="11" t="n">
        <v>0.8</v>
      </c>
      <c r="E16" s="11" t="n">
        <v>1</v>
      </c>
      <c r="F16" s="11" t="n">
        <v>1</v>
      </c>
      <c r="G16" s="11" t="n">
        <v>1</v>
      </c>
    </row>
    <row r="18">
      <c r="A18" s="3" t="inlineStr">
        <is>
          <t>Escenarios — multiplicadores</t>
        </is>
      </c>
    </row>
    <row r="19">
      <c r="A19" s="12" t="inlineStr">
        <is>
          <t>Variable</t>
        </is>
      </c>
      <c r="B19" s="13" t="inlineStr">
        <is>
          <t>Conservador</t>
        </is>
      </c>
      <c r="C19" s="13" t="inlineStr">
        <is>
          <t>Base</t>
        </is>
      </c>
      <c r="D19" s="13" t="inlineStr">
        <is>
          <t>Optimista</t>
        </is>
      </c>
    </row>
    <row r="20">
      <c r="A20" s="4" t="inlineStr">
        <is>
          <t>Multiplicador de ahorro (consolidación + automatización)</t>
        </is>
      </c>
      <c r="B20" s="14" t="n">
        <v>0.75</v>
      </c>
      <c r="C20" s="14" t="n">
        <v>1</v>
      </c>
      <c r="D20" s="14" t="n">
        <v>1.25</v>
      </c>
    </row>
    <row r="21">
      <c r="A21" s="4" t="inlineStr">
        <is>
          <t>Multiplicador de CAPEX</t>
        </is>
      </c>
      <c r="B21" s="14" t="n">
        <v>1.15</v>
      </c>
      <c r="C21" s="14" t="n">
        <v>1</v>
      </c>
      <c r="D21" s="14" t="n">
        <v>0.95</v>
      </c>
    </row>
    <row r="23">
      <c r="A23" s="15" t="inlineStr">
        <is>
          <t>Nota: edita solo celdas amarillas. Las demás hojas leen estos parámetros.</t>
        </is>
      </c>
    </row>
  </sheetData>
  <mergeCells count="5">
    <mergeCell ref="A2:F2"/>
    <mergeCell ref="A14:F14"/>
    <mergeCell ref="A1:F1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6" customHeight="1">
      <c r="A1" s="1" t="inlineStr">
        <is>
          <t>Labor Arbitrage Model</t>
        </is>
      </c>
    </row>
    <row r="2" ht="16" customHeight="1">
      <c r="A2" s="2" t="inlineStr">
        <is>
          <t>Ahorro por consolidación de FTEs, por función (steady-state)</t>
        </is>
      </c>
    </row>
    <row r="4">
      <c r="A4" s="13" t="inlineStr">
        <is>
          <t>Función</t>
        </is>
      </c>
      <c r="B4" s="13" t="inlineStr">
        <is>
          <t>FTEs origen</t>
        </is>
      </c>
      <c r="C4" s="13" t="inlineStr">
        <is>
          <t>Ratio consolidación</t>
        </is>
      </c>
      <c r="D4" s="13" t="inlineStr">
        <is>
          <t>FTEs en CR</t>
        </is>
      </c>
      <c r="E4" s="13" t="inlineStr">
        <is>
          <t>Costo origen (USD)</t>
        </is>
      </c>
      <c r="F4" s="13" t="inlineStr">
        <is>
          <t>Costo CR (USD)</t>
        </is>
      </c>
      <c r="G4" s="13" t="inlineStr">
        <is>
          <t>Ahorro anual (USD)</t>
        </is>
      </c>
    </row>
    <row r="5">
      <c r="A5" s="4" t="inlineStr">
        <is>
          <t>AP / Procure-to-Pay</t>
        </is>
      </c>
      <c r="B5" s="16" t="n">
        <v>10</v>
      </c>
      <c r="C5" s="17" t="n">
        <v>2.3</v>
      </c>
      <c r="D5" s="18">
        <f>B5/C5</f>
        <v/>
      </c>
      <c r="E5" s="19">
        <f>B5*'1. Assumptions'!$B$7</f>
        <v/>
      </c>
      <c r="F5" s="19">
        <f>D5*'1. Assumptions'!$B$8</f>
        <v/>
      </c>
      <c r="G5" s="20">
        <f>E5-F5</f>
        <v/>
      </c>
    </row>
    <row r="6">
      <c r="A6" s="4" t="inlineStr">
        <is>
          <t>AR / Order-to-Cash</t>
        </is>
      </c>
      <c r="B6" s="16" t="n">
        <v>8</v>
      </c>
      <c r="C6" s="17" t="n">
        <v>2.4</v>
      </c>
      <c r="D6" s="18">
        <f>B6/C6</f>
        <v/>
      </c>
      <c r="E6" s="19">
        <f>B6*'1. Assumptions'!$B$7</f>
        <v/>
      </c>
      <c r="F6" s="19">
        <f>D6*'1. Assumptions'!$B$8</f>
        <v/>
      </c>
      <c r="G6" s="20">
        <f>E6-F6</f>
        <v/>
      </c>
    </row>
    <row r="7">
      <c r="A7" s="4" t="inlineStr">
        <is>
          <t>R2R / General Ledger</t>
        </is>
      </c>
      <c r="B7" s="16" t="n">
        <v>12</v>
      </c>
      <c r="C7" s="17" t="n">
        <v>2.2</v>
      </c>
      <c r="D7" s="18">
        <f>B7/C7</f>
        <v/>
      </c>
      <c r="E7" s="19">
        <f>B7*'1. Assumptions'!$B$7</f>
        <v/>
      </c>
      <c r="F7" s="19">
        <f>D7*'1. Assumptions'!$B$8</f>
        <v/>
      </c>
      <c r="G7" s="20">
        <f>E7-F7</f>
        <v/>
      </c>
    </row>
    <row r="8">
      <c r="A8" s="4" t="inlineStr">
        <is>
          <t>Payroll / Nómina</t>
        </is>
      </c>
      <c r="B8" s="16" t="n">
        <v>6</v>
      </c>
      <c r="C8" s="17" t="n">
        <v>2</v>
      </c>
      <c r="D8" s="18">
        <f>B8/C8</f>
        <v/>
      </c>
      <c r="E8" s="19">
        <f>B8*'1. Assumptions'!$B$7</f>
        <v/>
      </c>
      <c r="F8" s="19">
        <f>D8*'1. Assumptions'!$B$8</f>
        <v/>
      </c>
      <c r="G8" s="20">
        <f>E8-F8</f>
        <v/>
      </c>
    </row>
    <row r="9">
      <c r="A9" s="4" t="inlineStr">
        <is>
          <t>T&amp;E</t>
        </is>
      </c>
      <c r="B9" s="16" t="n">
        <v>4</v>
      </c>
      <c r="C9" s="17" t="n">
        <v>2</v>
      </c>
      <c r="D9" s="18">
        <f>B9/C9</f>
        <v/>
      </c>
      <c r="E9" s="19">
        <f>B9*'1. Assumptions'!$B$7</f>
        <v/>
      </c>
      <c r="F9" s="19">
        <f>D9*'1. Assumptions'!$B$8</f>
        <v/>
      </c>
      <c r="G9" s="20">
        <f>E9-F9</f>
        <v/>
      </c>
    </row>
    <row r="10">
      <c r="A10" s="21" t="inlineStr">
        <is>
          <t>TOTAL</t>
        </is>
      </c>
      <c r="B10" s="22">
        <f>SUM(B5:B9)</f>
        <v/>
      </c>
      <c r="C10" s="23" t="inlineStr"/>
      <c r="D10" s="22">
        <f>SUM(D5:D9)</f>
        <v/>
      </c>
      <c r="E10" s="24">
        <f>SUM(E5:E9)</f>
        <v/>
      </c>
      <c r="F10" s="24">
        <f>SUM(F5:F9)</f>
        <v/>
      </c>
      <c r="G10" s="24">
        <f>SUM(G5:G9)</f>
        <v/>
      </c>
    </row>
    <row r="12">
      <c r="A12" s="25" t="inlineStr">
        <is>
          <t>Retained org (costo que permanece en origen):</t>
        </is>
      </c>
      <c r="E12" s="20">
        <f>'1. Assumptions'!$B$11*'1. Assumptions'!$B$7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1" t="inlineStr">
        <is>
          <t>Automation Benefits</t>
        </is>
      </c>
    </row>
    <row r="2" ht="16" customHeight="1">
      <c r="A2" s="2" t="inlineStr">
        <is>
          <t>Ahorro adicional por RPA + AI, por proceso y por año</t>
        </is>
      </c>
    </row>
    <row r="4">
      <c r="A4" s="13" t="inlineStr">
        <is>
          <t>Proceso</t>
        </is>
      </c>
      <c r="B4" s="13" t="inlineStr">
        <is>
          <t>Base FTE-cost CR (USD)</t>
        </is>
      </c>
      <c r="C4" s="13" t="inlineStr">
        <is>
          <t>Autom. % objetivo</t>
        </is>
      </c>
      <c r="D4" s="13" t="inlineStr">
        <is>
          <t>Year 1</t>
        </is>
      </c>
      <c r="E4" s="13" t="inlineStr">
        <is>
          <t>Year 2</t>
        </is>
      </c>
      <c r="F4" s="13" t="inlineStr">
        <is>
          <t>Year 3</t>
        </is>
      </c>
      <c r="G4" s="13" t="inlineStr">
        <is>
          <t>Year 4</t>
        </is>
      </c>
      <c r="H4" s="13" t="inlineStr">
        <is>
          <t>Year 5</t>
        </is>
      </c>
    </row>
    <row r="5">
      <c r="A5" s="4" t="inlineStr">
        <is>
          <t>AP — Invoice Processing</t>
        </is>
      </c>
      <c r="B5" s="7" t="n">
        <v>120000</v>
      </c>
      <c r="C5" s="11" t="n">
        <v>0.85</v>
      </c>
      <c r="D5" s="19">
        <f>$B5*$C5*'1. Assumptions'!$C$16</f>
        <v/>
      </c>
      <c r="E5" s="19">
        <f>$B5*$C5*'1. Assumptions'!$D$16</f>
        <v/>
      </c>
      <c r="F5" s="19">
        <f>$B5*$C5*'1. Assumptions'!$E$16</f>
        <v/>
      </c>
      <c r="G5" s="19">
        <f>$B5*$C5*'1. Assumptions'!$F$16</f>
        <v/>
      </c>
      <c r="H5" s="19">
        <f>$B5*$C5*'1. Assumptions'!$G$16</f>
        <v/>
      </c>
    </row>
    <row r="6">
      <c r="A6" s="4" t="inlineStr">
        <is>
          <t>AP — Payment Run</t>
        </is>
      </c>
      <c r="B6" s="7" t="n">
        <v>60000</v>
      </c>
      <c r="C6" s="11" t="n">
        <v>0.95</v>
      </c>
      <c r="D6" s="19">
        <f>$B6*$C6*'1. Assumptions'!$C$16</f>
        <v/>
      </c>
      <c r="E6" s="19">
        <f>$B6*$C6*'1. Assumptions'!$D$16</f>
        <v/>
      </c>
      <c r="F6" s="19">
        <f>$B6*$C6*'1. Assumptions'!$E$16</f>
        <v/>
      </c>
      <c r="G6" s="19">
        <f>$B6*$C6*'1. Assumptions'!$F$16</f>
        <v/>
      </c>
      <c r="H6" s="19">
        <f>$B6*$C6*'1. Assumptions'!$G$16</f>
        <v/>
      </c>
    </row>
    <row r="7">
      <c r="A7" s="4" t="inlineStr">
        <is>
          <t>AR — Cash Application</t>
        </is>
      </c>
      <c r="B7" s="7" t="n">
        <v>90000</v>
      </c>
      <c r="C7" s="11" t="n">
        <v>0.9</v>
      </c>
      <c r="D7" s="19">
        <f>$B7*$C7*'1. Assumptions'!$C$16</f>
        <v/>
      </c>
      <c r="E7" s="19">
        <f>$B7*$C7*'1. Assumptions'!$D$16</f>
        <v/>
      </c>
      <c r="F7" s="19">
        <f>$B7*$C7*'1. Assumptions'!$E$16</f>
        <v/>
      </c>
      <c r="G7" s="19">
        <f>$B7*$C7*'1. Assumptions'!$F$16</f>
        <v/>
      </c>
      <c r="H7" s="19">
        <f>$B7*$C7*'1. Assumptions'!$G$16</f>
        <v/>
      </c>
    </row>
    <row r="8">
      <c r="A8" s="4" t="inlineStr">
        <is>
          <t>R2R — Journals estándar</t>
        </is>
      </c>
      <c r="B8" s="7" t="n">
        <v>80000</v>
      </c>
      <c r="C8" s="11" t="n">
        <v>0.75</v>
      </c>
      <c r="D8" s="19">
        <f>$B8*$C8*'1. Assumptions'!$C$16</f>
        <v/>
      </c>
      <c r="E8" s="19">
        <f>$B8*$C8*'1. Assumptions'!$D$16</f>
        <v/>
      </c>
      <c r="F8" s="19">
        <f>$B8*$C8*'1. Assumptions'!$E$16</f>
        <v/>
      </c>
      <c r="G8" s="19">
        <f>$B8*$C8*'1. Assumptions'!$F$16</f>
        <v/>
      </c>
      <c r="H8" s="19">
        <f>$B8*$C8*'1. Assumptions'!$G$16</f>
        <v/>
      </c>
    </row>
    <row r="9">
      <c r="A9" s="4" t="inlineStr">
        <is>
          <t>R2R — Reconciliaciones</t>
        </is>
      </c>
      <c r="B9" s="7" t="n">
        <v>70000</v>
      </c>
      <c r="C9" s="11" t="n">
        <v>0.88</v>
      </c>
      <c r="D9" s="19">
        <f>$B9*$C9*'1. Assumptions'!$C$16</f>
        <v/>
      </c>
      <c r="E9" s="19">
        <f>$B9*$C9*'1. Assumptions'!$D$16</f>
        <v/>
      </c>
      <c r="F9" s="19">
        <f>$B9*$C9*'1. Assumptions'!$E$16</f>
        <v/>
      </c>
      <c r="G9" s="19">
        <f>$B9*$C9*'1. Assumptions'!$F$16</f>
        <v/>
      </c>
      <c r="H9" s="19">
        <f>$B9*$C9*'1. Assumptions'!$G$16</f>
        <v/>
      </c>
    </row>
    <row r="10">
      <c r="A10" s="4" t="inlineStr">
        <is>
          <t>T&amp;E — Procesamiento</t>
        </is>
      </c>
      <c r="B10" s="7" t="n">
        <v>50000</v>
      </c>
      <c r="C10" s="11" t="n">
        <v>0.8</v>
      </c>
      <c r="D10" s="19">
        <f>$B10*$C10*'1. Assumptions'!$C$16</f>
        <v/>
      </c>
      <c r="E10" s="19">
        <f>$B10*$C10*'1. Assumptions'!$D$16</f>
        <v/>
      </c>
      <c r="F10" s="19">
        <f>$B10*$C10*'1. Assumptions'!$E$16</f>
        <v/>
      </c>
      <c r="G10" s="19">
        <f>$B10*$C10*'1. Assumptions'!$F$16</f>
        <v/>
      </c>
      <c r="H10" s="19">
        <f>$B10*$C10*'1. Assumptions'!$G$16</f>
        <v/>
      </c>
    </row>
    <row r="11">
      <c r="A11" s="4" t="inlineStr">
        <is>
          <t>Reporting estándar</t>
        </is>
      </c>
      <c r="B11" s="7" t="n">
        <v>60000</v>
      </c>
      <c r="C11" s="11" t="n">
        <v>0.9</v>
      </c>
      <c r="D11" s="19">
        <f>$B11*$C11*'1. Assumptions'!$C$16</f>
        <v/>
      </c>
      <c r="E11" s="19">
        <f>$B11*$C11*'1. Assumptions'!$D$16</f>
        <v/>
      </c>
      <c r="F11" s="19">
        <f>$B11*$C11*'1. Assumptions'!$E$16</f>
        <v/>
      </c>
      <c r="G11" s="19">
        <f>$B11*$C11*'1. Assumptions'!$F$16</f>
        <v/>
      </c>
      <c r="H11" s="19">
        <f>$B11*$C11*'1. Assumptions'!$G$16</f>
        <v/>
      </c>
    </row>
    <row r="12">
      <c r="A12" s="21" t="inlineStr">
        <is>
          <t>TOTAL automatización</t>
        </is>
      </c>
      <c r="B12" s="26" t="inlineStr"/>
      <c r="C12" s="26" t="inlineStr"/>
      <c r="D12" s="24">
        <f>SUM(D5:D11)</f>
        <v/>
      </c>
      <c r="E12" s="24">
        <f>SUM(E5:E11)</f>
        <v/>
      </c>
      <c r="F12" s="24">
        <f>SUM(F5:F11)</f>
        <v/>
      </c>
      <c r="G12" s="24">
        <f>SUM(G5:G11)</f>
        <v/>
      </c>
      <c r="H12" s="24">
        <f>SUM(H5:H11)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One-Time Costs (CAPEX)</t>
        </is>
      </c>
    </row>
    <row r="2" ht="16" customHeight="1">
      <c r="A2" s="2" t="inlineStr">
        <is>
          <t>Inversión de implementación — desglose y fasaje</t>
        </is>
      </c>
    </row>
    <row r="4">
      <c r="A4" s="13" t="inlineStr">
        <is>
          <t>Categoría CAPEX</t>
        </is>
      </c>
      <c r="B4" s="13" t="inlineStr">
        <is>
          <t>Year 0</t>
        </is>
      </c>
      <c r="C4" s="13" t="inlineStr">
        <is>
          <t>Year 1</t>
        </is>
      </c>
      <c r="D4" s="13" t="inlineStr">
        <is>
          <t>Total</t>
        </is>
      </c>
    </row>
    <row r="5">
      <c r="A5" s="4" t="inlineStr">
        <is>
          <t>Consultoría (Strategy + Design + Deliver)</t>
        </is>
      </c>
      <c r="B5" s="7" t="n">
        <v>600000</v>
      </c>
      <c r="C5" s="7" t="n">
        <v>300000</v>
      </c>
      <c r="D5" s="19">
        <f>B5+C5</f>
        <v/>
      </c>
    </row>
    <row r="6">
      <c r="A6" s="4" t="inlineStr">
        <is>
          <t>Tecnología (infra + licencias año 1)</t>
        </is>
      </c>
      <c r="B6" s="7" t="n">
        <v>350000</v>
      </c>
      <c r="C6" s="7" t="n">
        <v>150000</v>
      </c>
      <c r="D6" s="19">
        <f>B6+C6</f>
        <v/>
      </c>
    </row>
    <row r="7">
      <c r="A7" s="4" t="inlineStr">
        <is>
          <t>Instalaciones (setup inicial)</t>
        </is>
      </c>
      <c r="B7" s="7" t="n">
        <v>300000</v>
      </c>
      <c r="C7" s="7" t="n">
        <v>100000</v>
      </c>
      <c r="D7" s="19">
        <f>B7+C7</f>
        <v/>
      </c>
    </row>
    <row r="8">
      <c r="A8" s="4" t="inlineStr">
        <is>
          <t>Recursos Humanos (reclutamiento + training)</t>
        </is>
      </c>
      <c r="B8" s="7" t="n">
        <v>250000</v>
      </c>
      <c r="C8" s="7" t="n">
        <v>100000</v>
      </c>
      <c r="D8" s="19">
        <f>B8+C8</f>
        <v/>
      </c>
    </row>
    <row r="9">
      <c r="A9" s="4" t="inlineStr">
        <is>
          <t>Transición (paralelismo, KT, viajes)</t>
        </is>
      </c>
      <c r="B9" s="7" t="n">
        <v>200000</v>
      </c>
      <c r="C9" s="7" t="n">
        <v>200000</v>
      </c>
      <c r="D9" s="19">
        <f>B9+C9</f>
        <v/>
      </c>
    </row>
    <row r="10">
      <c r="A10" s="21" t="inlineStr">
        <is>
          <t>TOTAL CAPEX</t>
        </is>
      </c>
      <c r="B10" s="24">
        <f>SUM(B5:B9)</f>
        <v/>
      </c>
      <c r="C10" s="24">
        <f>SUM(C5:C9)</f>
        <v/>
      </c>
      <c r="D10" s="24">
        <f>SUM(D5:D9)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Operating Costs (OPEX Run-Rate)</t>
        </is>
      </c>
    </row>
    <row r="2" ht="16" customHeight="1">
      <c r="A2" s="2" t="inlineStr">
        <is>
          <t>Costo anual de operar el GBS — Year 1..5</t>
        </is>
      </c>
    </row>
    <row r="4">
      <c r="A4" s="12" t="inlineStr">
        <is>
          <t>Categoría OPEX</t>
        </is>
      </c>
      <c r="B4" s="13" t="inlineStr">
        <is>
          <t>Year 1</t>
        </is>
      </c>
      <c r="C4" s="13" t="inlineStr">
        <is>
          <t>Year 2</t>
        </is>
      </c>
      <c r="D4" s="13" t="inlineStr">
        <is>
          <t>Year 3</t>
        </is>
      </c>
      <c r="E4" s="13" t="inlineStr">
        <is>
          <t>Year 4</t>
        </is>
      </c>
      <c r="F4" s="13" t="inlineStr">
        <is>
          <t>Year 5</t>
        </is>
      </c>
    </row>
    <row r="5">
      <c r="A5" s="4" t="inlineStr">
        <is>
          <t>Personal CR (post-consolidación)</t>
        </is>
      </c>
      <c r="B5" s="19">
        <f>SUM('2. Labor Arbitrage'!$F$5:$F$9)*(1+'1. Assumptions'!$B$10)^0</f>
        <v/>
      </c>
      <c r="C5" s="19">
        <f>SUM('2. Labor Arbitrage'!$F$5:$F$9)*(1+'1. Assumptions'!$B$10)^1</f>
        <v/>
      </c>
      <c r="D5" s="19">
        <f>SUM('2. Labor Arbitrage'!$F$5:$F$9)*(1+'1. Assumptions'!$B$10)^2</f>
        <v/>
      </c>
      <c r="E5" s="19">
        <f>SUM('2. Labor Arbitrage'!$F$5:$F$9)*(1+'1. Assumptions'!$B$10)^3</f>
        <v/>
      </c>
      <c r="F5" s="19">
        <f>SUM('2. Labor Arbitrage'!$F$5:$F$9)*(1+'1. Assumptions'!$B$10)^4</f>
        <v/>
      </c>
    </row>
    <row r="6">
      <c r="A6" s="4" t="inlineStr">
        <is>
          <t>Instalaciones CR (renta + servicios)</t>
        </is>
      </c>
      <c r="B6" s="7" t="n">
        <v>180000</v>
      </c>
      <c r="C6" s="19">
        <f>B6*(1+'1. Assumptions'!$B$10)</f>
        <v/>
      </c>
      <c r="D6" s="19">
        <f>C6*(1+'1. Assumptions'!$B$10)</f>
        <v/>
      </c>
      <c r="E6" s="19">
        <f>D6*(1+'1. Assumptions'!$B$10)</f>
        <v/>
      </c>
      <c r="F6" s="19">
        <f>E6*(1+'1. Assumptions'!$B$10)</f>
        <v/>
      </c>
    </row>
    <row r="7">
      <c r="A7" s="4" t="inlineStr">
        <is>
          <t>Tecnología (ERP + automatización + IT)</t>
        </is>
      </c>
      <c r="B7" s="7" t="n">
        <v>200000</v>
      </c>
      <c r="C7" s="19">
        <f>B7*(1+'1. Assumptions'!$B$10)</f>
        <v/>
      </c>
      <c r="D7" s="19">
        <f>C7*(1+'1. Assumptions'!$B$10)</f>
        <v/>
      </c>
      <c r="E7" s="19">
        <f>D7*(1+'1. Assumptions'!$B$10)</f>
        <v/>
      </c>
      <c r="F7" s="19">
        <f>E7*(1+'1. Assumptions'!$B$10)</f>
        <v/>
      </c>
    </row>
    <row r="8">
      <c r="A8" s="4" t="inlineStr">
        <is>
          <t>Overhead (auditoría, legal, compliance)</t>
        </is>
      </c>
      <c r="B8" s="7" t="n">
        <v>70000</v>
      </c>
      <c r="C8" s="19">
        <f>B8*(1+'1. Assumptions'!$B$10)</f>
        <v/>
      </c>
      <c r="D8" s="19">
        <f>C8*(1+'1. Assumptions'!$B$10)</f>
        <v/>
      </c>
      <c r="E8" s="19">
        <f>D8*(1+'1. Assumptions'!$B$10)</f>
        <v/>
      </c>
      <c r="F8" s="19">
        <f>E8*(1+'1. Assumptions'!$B$10)</f>
        <v/>
      </c>
    </row>
    <row r="9">
      <c r="A9" s="4" t="inlineStr">
        <is>
          <t>Management fee intercompany</t>
        </is>
      </c>
      <c r="B9" s="19">
        <f>SUM(B5:B8)*'1. Assumptions'!$B$12</f>
        <v/>
      </c>
      <c r="C9" s="19">
        <f>SUM(C5:C8)*'1. Assumptions'!$B$12</f>
        <v/>
      </c>
      <c r="D9" s="19">
        <f>SUM(D5:D8)*'1. Assumptions'!$B$12</f>
        <v/>
      </c>
      <c r="E9" s="19">
        <f>SUM(E5:E8)*'1. Assumptions'!$B$12</f>
        <v/>
      </c>
      <c r="F9" s="19">
        <f>SUM(F5:F8)*'1. Assumptions'!$B$12</f>
        <v/>
      </c>
    </row>
    <row r="10">
      <c r="A10" s="21" t="inlineStr">
        <is>
          <t>TOTAL OPEX</t>
        </is>
      </c>
      <c r="B10" s="24">
        <f>SUM(B5:B9)</f>
        <v/>
      </c>
      <c r="C10" s="24">
        <f>SUM(C5:C9)</f>
        <v/>
      </c>
      <c r="D10" s="24">
        <f>SUM(D5:D9)</f>
        <v/>
      </c>
      <c r="E10" s="24">
        <f>SUM(E5:E9)</f>
        <v/>
      </c>
      <c r="F10" s="24">
        <f>SUM(F5:F9)</f>
        <v/>
      </c>
    </row>
    <row r="12">
      <c r="A12" s="15" t="inlineStr">
        <is>
          <t>Nota: defaults dimensionados para el centro CR del ejemplo (hoja 2). Escala instalaciones/tecnología con el headcount real del GBS.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P&amp;L Summary — Cashflow del proyecto</t>
        </is>
      </c>
    </row>
    <row r="2" ht="16" customHeight="1">
      <c r="A2" s="2" t="inlineStr">
        <is>
          <t>Escenario base · ver multiplicadores en Assumptions</t>
        </is>
      </c>
    </row>
    <row r="4">
      <c r="A4" s="12" t="inlineStr">
        <is>
          <t>Concepto</t>
        </is>
      </c>
      <c r="B4" s="13" t="inlineStr">
        <is>
          <t>Year 0</t>
        </is>
      </c>
      <c r="C4" s="13" t="inlineStr">
        <is>
          <t>Year 1</t>
        </is>
      </c>
      <c r="D4" s="13" t="inlineStr">
        <is>
          <t>Year 2</t>
        </is>
      </c>
      <c r="E4" s="13" t="inlineStr">
        <is>
          <t>Year 3</t>
        </is>
      </c>
      <c r="F4" s="13" t="inlineStr">
        <is>
          <t>Year 4</t>
        </is>
      </c>
      <c r="G4" s="13" t="inlineStr">
        <is>
          <t>Year 5</t>
        </is>
      </c>
    </row>
    <row r="5">
      <c r="A5" s="4" t="inlineStr">
        <is>
          <t>Ahorro bruto (labor + automatización)</t>
        </is>
      </c>
      <c r="B5" s="19" t="n">
        <v>0</v>
      </c>
      <c r="C5" s="19">
        <f>('2. Labor Arbitrage'!$G$10*'1. Assumptions'!$C$16+'3. Automation'!$D$12)*'1. Assumptions'!$C$20</f>
        <v/>
      </c>
      <c r="D5" s="19">
        <f>('2. Labor Arbitrage'!$G$10*'1. Assumptions'!$D$16+'3. Automation'!$E$12)*'1. Assumptions'!$C$20</f>
        <v/>
      </c>
      <c r="E5" s="19">
        <f>('2. Labor Arbitrage'!$G$10*'1. Assumptions'!$E$16+'3. Automation'!$F$12)*'1. Assumptions'!$C$20</f>
        <v/>
      </c>
      <c r="F5" s="19">
        <f>('2. Labor Arbitrage'!$G$10*'1. Assumptions'!$F$16+'3. Automation'!$G$12)*'1. Assumptions'!$C$20</f>
        <v/>
      </c>
      <c r="G5" s="19">
        <f>('2. Labor Arbitrage'!$G$10*'1. Assumptions'!$G$16+'3. Automation'!$H$12)*'1. Assumptions'!$C$20</f>
        <v/>
      </c>
    </row>
    <row r="6">
      <c r="A6" s="4" t="inlineStr">
        <is>
          <t>(-) Costos GBS no laborales (instal.+tech+fee)</t>
        </is>
      </c>
      <c r="B6" s="19" t="n">
        <v>0</v>
      </c>
      <c r="C6" s="19">
        <f>-('5. Operating Costs'!$B$10-'5. Operating Costs'!$B$5)</f>
        <v/>
      </c>
      <c r="D6" s="19">
        <f>-('5. Operating Costs'!$C$10-'5. Operating Costs'!$C$5)</f>
        <v/>
      </c>
      <c r="E6" s="19">
        <f>-('5. Operating Costs'!$D$10-'5. Operating Costs'!$D$5)</f>
        <v/>
      </c>
      <c r="F6" s="19">
        <f>-('5. Operating Costs'!$E$10-'5. Operating Costs'!$E$5)</f>
        <v/>
      </c>
      <c r="G6" s="19">
        <f>-('5. Operating Costs'!$F$10-'5. Operating Costs'!$F$5)</f>
        <v/>
      </c>
    </row>
    <row r="7">
      <c r="A7" s="4" t="inlineStr">
        <is>
          <t>(-) CAPEX (one-time)</t>
        </is>
      </c>
      <c r="B7" s="19">
        <f>-'4. One-Time Costs'!$B$10*'1. Assumptions'!$C$21</f>
        <v/>
      </c>
      <c r="C7" s="19">
        <f>-'4. One-Time Costs'!$C$10*'1. Assumptions'!$C$21</f>
        <v/>
      </c>
      <c r="D7" s="19" t="n">
        <v>0</v>
      </c>
      <c r="E7" s="19" t="n">
        <v>0</v>
      </c>
      <c r="F7" s="19" t="n">
        <v>0</v>
      </c>
      <c r="G7" s="19" t="n">
        <v>0</v>
      </c>
    </row>
    <row r="8">
      <c r="A8" s="21" t="inlineStr">
        <is>
          <t>FLUJO NETO ANUAL</t>
        </is>
      </c>
      <c r="B8" s="24">
        <f>SUM(B5:B7)</f>
        <v/>
      </c>
      <c r="C8" s="24">
        <f>SUM(C5:C7)</f>
        <v/>
      </c>
      <c r="D8" s="24">
        <f>SUM(D5:D7)</f>
        <v/>
      </c>
      <c r="E8" s="24">
        <f>SUM(E5:E7)</f>
        <v/>
      </c>
      <c r="F8" s="24">
        <f>SUM(F5:F7)</f>
        <v/>
      </c>
      <c r="G8" s="24">
        <f>SUM(G5:G7)</f>
        <v/>
      </c>
    </row>
    <row r="9">
      <c r="A9" s="27" t="inlineStr">
        <is>
          <t>FLUJO ACUMULADO</t>
        </is>
      </c>
      <c r="B9" s="20">
        <f>B8</f>
        <v/>
      </c>
      <c r="C9" s="20">
        <f>B9+C8</f>
        <v/>
      </c>
      <c r="D9" s="20">
        <f>C9+D8</f>
        <v/>
      </c>
      <c r="E9" s="20">
        <f>D9+E8</f>
        <v/>
      </c>
      <c r="F9" s="20">
        <f>E9+F8</f>
        <v/>
      </c>
      <c r="G9" s="20">
        <f>F9+G8</f>
        <v/>
      </c>
    </row>
  </sheetData>
  <mergeCells count="2">
    <mergeCell ref="A2:G2"/>
    <mergeCell ref="A1:G1"/>
  </mergeCells>
  <conditionalFormatting sqref="B8:G9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26" customHeight="1">
      <c r="A1" s="1" t="inlineStr">
        <is>
          <t>Financial Metrics</t>
        </is>
      </c>
    </row>
    <row r="2" ht="16" customHeight="1">
      <c r="A2" s="2" t="inlineStr">
        <is>
          <t>NPV · IRR · Payback · ROI (escenario base)</t>
        </is>
      </c>
    </row>
    <row r="4">
      <c r="A4" s="21" t="inlineStr">
        <is>
          <t>NPV (a WACC)</t>
        </is>
      </c>
      <c r="B4" s="28">
        <f>'6. P&amp;L Summary'!$B$8+NPV('1. Assumptions'!$B$6,'6. P&amp;L Summary'!$C$8:$G$8)</f>
        <v/>
      </c>
    </row>
    <row r="5">
      <c r="A5" s="21" t="inlineStr">
        <is>
          <t>IRR</t>
        </is>
      </c>
      <c r="B5" s="29">
        <f>IFERROR(IRR('6. P&amp;L Summary'!$B$8:$G$8),"n/a")</f>
        <v/>
      </c>
    </row>
    <row r="6">
      <c r="A6" s="21" t="inlineStr">
        <is>
          <t>Ahorro neto acumulado 5 años</t>
        </is>
      </c>
      <c r="B6" s="28">
        <f>'6. P&amp;L Summary'!$G$9</f>
        <v/>
      </c>
    </row>
    <row r="7">
      <c r="A7" s="21" t="inlineStr">
        <is>
          <t>Inversión total (CAPEX)</t>
        </is>
      </c>
      <c r="B7" s="28">
        <f>'4. One-Time Costs'!$B$10+'4. One-Time Costs'!$C$10</f>
        <v/>
      </c>
    </row>
    <row r="8">
      <c r="A8" s="21" t="inlineStr">
        <is>
          <t>ROI 5 años</t>
        </is>
      </c>
      <c r="B8" s="30">
        <f>'6. P&amp;L Summary'!$G$9/('4. One-Time Costs'!$B$10+'4. One-Time Costs'!$C$10)</f>
        <v/>
      </c>
    </row>
    <row r="9">
      <c r="A9" s="21" t="inlineStr">
        <is>
          <t>Payback (años, aprox.)</t>
        </is>
      </c>
      <c r="B9" s="31">
        <f>IFERROR(MATCH(TRUE,INDEX('6. P&amp;L Summary'!$B$9:$G$9&gt;=0,0),0)-1,"&gt; 5")</f>
        <v/>
      </c>
    </row>
    <row r="11">
      <c r="A11" s="15" t="inlineStr">
        <is>
          <t>Nota: Payback usa el primer año con flujo acumulado ≥ 0.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Sensitivity Analysis</t>
        </is>
      </c>
    </row>
    <row r="2" ht="16" customHeight="1">
      <c r="A2" s="2" t="inlineStr">
        <is>
          <t>Impacto de variables clave sobre el NPV (referencia direccional)</t>
        </is>
      </c>
    </row>
    <row r="4">
      <c r="A4" s="13" t="inlineStr">
        <is>
          <t>Variable</t>
        </is>
      </c>
      <c r="B4" s="13" t="inlineStr">
        <is>
          <t>Cambio</t>
        </is>
      </c>
      <c r="C4" s="13" t="inlineStr">
        <is>
          <t>Dirección impacto NPV</t>
        </is>
      </c>
    </row>
    <row r="5">
      <c r="A5" s="4" t="inlineStr">
        <is>
          <t>Ratio de consolidación FTE</t>
        </is>
      </c>
      <c r="B5" s="32" t="inlineStr">
        <is>
          <t>+0.5x</t>
        </is>
      </c>
      <c r="C5" s="33" t="inlineStr">
        <is>
          <t>▲ Alto positivo</t>
        </is>
      </c>
    </row>
    <row r="6">
      <c r="A6" s="4" t="inlineStr">
        <is>
          <t>Salarios CR</t>
        </is>
      </c>
      <c r="B6" s="32" t="inlineStr">
        <is>
          <t>+10%</t>
        </is>
      </c>
      <c r="C6" s="33" t="inlineStr">
        <is>
          <t>▼ Negativo</t>
        </is>
      </c>
    </row>
    <row r="7">
      <c r="A7" s="4" t="inlineStr">
        <is>
          <t>Automatización</t>
        </is>
      </c>
      <c r="B7" s="32" t="inlineStr">
        <is>
          <t>+10 pts</t>
        </is>
      </c>
      <c r="C7" s="33" t="inlineStr">
        <is>
          <t>▲ Positivo</t>
        </is>
      </c>
    </row>
    <row r="8">
      <c r="A8" s="4" t="inlineStr">
        <is>
          <t>CAPEX implementación</t>
        </is>
      </c>
      <c r="B8" s="32" t="inlineStr">
        <is>
          <t>+20%</t>
        </is>
      </c>
      <c r="C8" s="33" t="inlineStr">
        <is>
          <t>▼ Negativo</t>
        </is>
      </c>
    </row>
    <row r="9">
      <c r="A9" s="4" t="inlineStr">
        <is>
          <t>Tipo de cambio USD/CRC</t>
        </is>
      </c>
      <c r="B9" s="32" t="inlineStr">
        <is>
          <t>±5%</t>
        </is>
      </c>
      <c r="C9" s="33" t="inlineStr">
        <is>
          <t>↕ Bajo</t>
        </is>
      </c>
    </row>
    <row r="10">
      <c r="A10" s="4" t="inlineStr">
        <is>
          <t>Velocidad de ramp-up</t>
        </is>
      </c>
      <c r="B10" s="32" t="inlineStr">
        <is>
          <t>-3 meses</t>
        </is>
      </c>
      <c r="C10" s="33" t="inlineStr">
        <is>
          <t>▲ Positivo</t>
        </is>
      </c>
    </row>
    <row r="12">
      <c r="A12" s="15" t="inlineStr">
        <is>
          <t>Para sensibilidad cuantitativa: variar el multiplicador de ahorro/CAPEX en la hoja Assumptions y observar NPV en la hoja 7.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1" t="inlineStr">
        <is>
          <t>Executive Dashboard</t>
        </is>
      </c>
    </row>
    <row r="2" ht="16" customHeight="1">
      <c r="A2" s="2" t="inlineStr">
        <is>
          <t>Resumen para presentación a Junta Directiva</t>
        </is>
      </c>
    </row>
    <row r="4">
      <c r="A4" s="13" t="inlineStr">
        <is>
          <t>NPV</t>
        </is>
      </c>
      <c r="C4" s="13" t="inlineStr">
        <is>
          <t>IRR</t>
        </is>
      </c>
      <c r="E4" s="13" t="inlineStr">
        <is>
          <t>Payback (años)</t>
        </is>
      </c>
      <c r="G4" s="13" t="inlineStr">
        <is>
          <t>ROI 5 años</t>
        </is>
      </c>
    </row>
    <row r="5">
      <c r="A5" s="34">
        <f>'7. Financial Metrics'!$B$4</f>
        <v/>
      </c>
      <c r="C5" s="35">
        <f>'7. Financial Metrics'!$B$5</f>
        <v/>
      </c>
      <c r="E5" s="36">
        <f>'7. Financial Metrics'!$B$9</f>
        <v/>
      </c>
      <c r="G5" s="37">
        <f>'7. Financial Metrics'!$B$8</f>
        <v/>
      </c>
    </row>
    <row r="8">
      <c r="A8" s="38" t="inlineStr">
        <is>
          <t>Flujo acumulado</t>
        </is>
      </c>
      <c r="B8" s="10" t="inlineStr">
        <is>
          <t>Year 0</t>
        </is>
      </c>
      <c r="C8" s="10" t="inlineStr">
        <is>
          <t>Year 1</t>
        </is>
      </c>
      <c r="D8" s="10" t="inlineStr">
        <is>
          <t>Year 2</t>
        </is>
      </c>
      <c r="E8" s="10" t="inlineStr">
        <is>
          <t>Year 3</t>
        </is>
      </c>
      <c r="F8" s="10" t="inlineStr">
        <is>
          <t>Year 4</t>
        </is>
      </c>
      <c r="G8" s="10" t="inlineStr">
        <is>
          <t>Year 5</t>
        </is>
      </c>
    </row>
    <row r="9">
      <c r="A9" s="4" t="inlineStr">
        <is>
          <t>USD</t>
        </is>
      </c>
      <c r="B9" s="19">
        <f>'6. P&amp;L Summary'!B9</f>
        <v/>
      </c>
      <c r="C9" s="19">
        <f>'6. P&amp;L Summary'!C9</f>
        <v/>
      </c>
      <c r="D9" s="19">
        <f>'6. P&amp;L Summary'!D9</f>
        <v/>
      </c>
      <c r="E9" s="19">
        <f>'6. P&amp;L Summary'!E9</f>
        <v/>
      </c>
      <c r="F9" s="19">
        <f>'6. P&amp;L Summary'!F9</f>
        <v/>
      </c>
      <c r="G9" s="19">
        <f>'6. P&amp;L Summary'!G9</f>
        <v/>
      </c>
    </row>
    <row r="22">
      <c r="A22" s="38" t="inlineStr">
        <is>
          <t>Flujo neto anual</t>
        </is>
      </c>
      <c r="B22" s="10" t="inlineStr">
        <is>
          <t>Year 0</t>
        </is>
      </c>
      <c r="C22" s="10" t="inlineStr">
        <is>
          <t>Year 1</t>
        </is>
      </c>
      <c r="D22" s="10" t="inlineStr">
        <is>
          <t>Year 2</t>
        </is>
      </c>
      <c r="E22" s="10" t="inlineStr">
        <is>
          <t>Year 3</t>
        </is>
      </c>
      <c r="F22" s="10" t="inlineStr">
        <is>
          <t>Year 4</t>
        </is>
      </c>
      <c r="G22" s="10" t="inlineStr">
        <is>
          <t>Year 5</t>
        </is>
      </c>
    </row>
    <row r="23">
      <c r="A23" s="4" t="inlineStr">
        <is>
          <t>USD</t>
        </is>
      </c>
      <c r="B23" s="19">
        <f>'6. P&amp;L Summary'!B8</f>
        <v/>
      </c>
      <c r="C23" s="19">
        <f>'6. P&amp;L Summary'!C8</f>
        <v/>
      </c>
      <c r="D23" s="19">
        <f>'6. P&amp;L Summary'!D8</f>
        <v/>
      </c>
      <c r="E23" s="19">
        <f>'6. P&amp;L Summary'!E8</f>
        <v/>
      </c>
      <c r="F23" s="19">
        <f>'6. P&amp;L Summary'!F8</f>
        <v/>
      </c>
      <c r="G23" s="19">
        <f>'6. P&amp;L Summary'!G8</f>
        <v/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2026-06-04T20:38:58Z</dcterms:created>
  <dcterms:modified xmlns:dcterms="http://purl.org/dc/terms/" xmlns:xsi="http://www.w3.org/2001/XMLSchema-instance" xsi:type="dcterms:W3CDTF">2026-06-04T20:38:58Z</dcterms:modified>
</cp:coreProperties>
</file>